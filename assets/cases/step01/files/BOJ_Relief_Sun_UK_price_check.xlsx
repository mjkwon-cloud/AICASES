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50e9a7b71a1b24e/바탕 화면/클로드 사례/클로드 인 크롬/"/>
    </mc:Choice>
  </mc:AlternateContent>
  <xr:revisionPtr revIDLastSave="3" documentId="11_90CFC0D115ACB33D0060180480A7E84E10C57164" xr6:coauthVersionLast="47" xr6:coauthVersionMax="47" xr10:uidLastSave="{DC0AC33D-069B-4621-9ED6-7D38DED4ECA5}"/>
  <bookViews>
    <workbookView xWindow="-110" yWindow="-110" windowWidth="19420" windowHeight="11500" tabRatio="500" xr2:uid="{00000000-000D-0000-FFFF-FFFF00000000}"/>
  </bookViews>
  <sheets>
    <sheet name="가격비교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13" i="1"/>
  <c r="B11" i="1"/>
  <c r="B10" i="1"/>
  <c r="G6" i="1"/>
  <c r="F6" i="1"/>
  <c r="G5" i="1"/>
  <c r="F5" i="1"/>
</calcChain>
</file>

<file path=xl/sharedStrings.xml><?xml version="1.0" encoding="utf-8"?>
<sst xmlns="http://schemas.openxmlformats.org/spreadsheetml/2006/main" count="38" uniqueCount="37">
  <si>
    <r>
      <rPr>
        <b/>
        <sz val="14"/>
        <rFont val="Arial"/>
        <family val="2"/>
      </rPr>
      <t xml:space="preserve">Beauty of Joseon Relief Sun: Rice + Probiotics SPF50+ PA++++ 50ml — </t>
    </r>
    <r>
      <rPr>
        <b/>
        <sz val="14"/>
        <rFont val="Noto Sans CJK SC"/>
        <family val="2"/>
      </rPr>
      <t>영국 가격 비교</t>
    </r>
  </si>
  <si>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Arial"/>
        <family val="2"/>
      </rPr>
      <t xml:space="preserve">: £20 </t>
    </r>
    <r>
      <rPr>
        <i/>
        <sz val="9"/>
        <color rgb="FF595959"/>
        <rFont val="Noto Sans CJK SC"/>
        <family val="2"/>
      </rPr>
      <t xml:space="preserve">이하 판매처 조사 </t>
    </r>
    <r>
      <rPr>
        <i/>
        <sz val="9"/>
        <color rgb="FF595959"/>
        <rFont val="Arial"/>
        <family val="2"/>
      </rPr>
      <t xml:space="preserve">/ </t>
    </r>
    <r>
      <rPr>
        <i/>
        <sz val="9"/>
        <color rgb="FF595959"/>
        <rFont val="Noto Sans CJK SC"/>
        <family val="2"/>
      </rPr>
      <t>조사일</t>
    </r>
    <r>
      <rPr>
        <i/>
        <sz val="9"/>
        <color rgb="FF595959"/>
        <rFont val="Arial"/>
        <family val="2"/>
      </rPr>
      <t xml:space="preserve">: 2026-08-17 / </t>
    </r>
    <r>
      <rPr>
        <i/>
        <sz val="9"/>
        <color rgb="FF595959"/>
        <rFont val="Noto Sans CJK SC"/>
        <family val="2"/>
      </rPr>
      <t>통화</t>
    </r>
    <r>
      <rPr>
        <i/>
        <sz val="9"/>
        <color rgb="FF595959"/>
        <rFont val="Arial"/>
        <family val="2"/>
      </rPr>
      <t xml:space="preserve">: GBP / </t>
    </r>
    <r>
      <rPr>
        <i/>
        <sz val="9"/>
        <color rgb="FF595959"/>
        <rFont val="Noto Sans CJK SC"/>
        <family val="2"/>
      </rPr>
      <t>가격은 정가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할인 미적용</t>
    </r>
    <r>
      <rPr>
        <i/>
        <sz val="9"/>
        <color rgb="FF595959"/>
        <rFont val="Arial"/>
        <family val="2"/>
      </rPr>
      <t xml:space="preserve">) </t>
    </r>
    <r>
      <rPr>
        <i/>
        <sz val="9"/>
        <color rgb="FF595959"/>
        <rFont val="Noto Sans CJK SC"/>
        <family val="2"/>
      </rPr>
      <t>기준</t>
    </r>
  </si>
  <si>
    <t>번호</t>
  </si>
  <si>
    <t>판매처</t>
  </si>
  <si>
    <r>
      <rPr>
        <b/>
        <sz val="10"/>
        <color rgb="FFFFFFFF"/>
        <rFont val="Noto Sans CJK SC"/>
        <family val="2"/>
      </rPr>
      <t>제품명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사이트 표기</t>
    </r>
    <r>
      <rPr>
        <b/>
        <sz val="10"/>
        <color rgb="FFFFFFFF"/>
        <rFont val="Arial"/>
        <family val="2"/>
      </rPr>
      <t>)</t>
    </r>
  </si>
  <si>
    <t>용량</t>
  </si>
  <si>
    <r>
      <rPr>
        <b/>
        <sz val="10"/>
        <color rgb="FFFFFFFF"/>
        <rFont val="Noto Sans CJK SC"/>
        <family val="2"/>
      </rPr>
      <t xml:space="preserve">판매가 </t>
    </r>
    <r>
      <rPr>
        <b/>
        <sz val="10"/>
        <color rgb="FFFFFFFF"/>
        <rFont val="Arial"/>
        <family val="2"/>
      </rPr>
      <t>(£)</t>
    </r>
  </si>
  <si>
    <r>
      <rPr>
        <b/>
        <sz val="10"/>
        <color rgb="FFFFFFFF"/>
        <rFont val="Arial"/>
        <family val="2"/>
      </rPr>
      <t xml:space="preserve">£20 </t>
    </r>
    <r>
      <rPr>
        <b/>
        <sz val="10"/>
        <color rgb="FFFFFFFF"/>
        <rFont val="Noto Sans CJK SC"/>
        <family val="2"/>
      </rPr>
      <t>이하 여부</t>
    </r>
  </si>
  <si>
    <r>
      <rPr>
        <b/>
        <sz val="10"/>
        <color rgb="FFFFFFFF"/>
        <rFont val="Arial"/>
        <family val="2"/>
      </rPr>
      <t>ml</t>
    </r>
    <r>
      <rPr>
        <b/>
        <sz val="10"/>
        <color rgb="FFFFFFFF"/>
        <rFont val="Noto Sans CJK SC"/>
        <family val="2"/>
      </rPr>
      <t xml:space="preserve">당 단가 </t>
    </r>
    <r>
      <rPr>
        <b/>
        <sz val="10"/>
        <color rgb="FFFFFFFF"/>
        <rFont val="Arial"/>
        <family val="2"/>
      </rPr>
      <t>(£)</t>
    </r>
  </si>
  <si>
    <r>
      <rPr>
        <b/>
        <sz val="10"/>
        <color rgb="FFFFFFFF"/>
        <rFont val="Noto Sans CJK SC"/>
        <family val="2"/>
      </rPr>
      <t xml:space="preserve">배송비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무료배송 조건</t>
    </r>
  </si>
  <si>
    <t>재고 상태</t>
  </si>
  <si>
    <r>
      <rPr>
        <b/>
        <sz val="10"/>
        <color rgb="FFFFFFFF"/>
        <rFont val="Noto Sans CJK SC"/>
        <family val="2"/>
      </rPr>
      <t xml:space="preserve">제품 페이지 </t>
    </r>
    <r>
      <rPr>
        <b/>
        <sz val="10"/>
        <color rgb="FFFFFFFF"/>
        <rFont val="Arial"/>
        <family val="2"/>
      </rPr>
      <t>URL</t>
    </r>
  </si>
  <si>
    <t>Skinsider (skinsider.co.uk)</t>
  </si>
  <si>
    <t>Beauty of Joseon Relief Sun: Rice + Probiotics SPF50+ PA++++ 50ml</t>
  </si>
  <si>
    <t>50ml</t>
  </si>
  <si>
    <r>
      <rPr>
        <sz val="10"/>
        <rFont val="Arial"/>
        <family val="2"/>
      </rPr>
      <t xml:space="preserve">£3.50 (£25 </t>
    </r>
    <r>
      <rPr>
        <sz val="10"/>
        <rFont val="Noto Sans CJK SC"/>
        <family val="2"/>
      </rPr>
      <t>이상 무료배송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</si>
  <si>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품절 추정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재입고 알림만 표시</t>
    </r>
    <r>
      <rPr>
        <sz val="10"/>
        <rFont val="Arial"/>
        <family val="2"/>
      </rPr>
      <t>)</t>
    </r>
  </si>
  <si>
    <t>https://skinsider.co.uk/beauty-of-joseon-relief-sun-rice-probiotics-spf50-pa-50ml/</t>
  </si>
  <si>
    <t>Sephora UK (sephora.co.uk)</t>
  </si>
  <si>
    <t>Relief Sun: Rice+Probiotics SPF50+ - Soothing sunscreen with rice and probiotics 50 ml</t>
  </si>
  <si>
    <r>
      <rPr>
        <sz val="10"/>
        <rFont val="Arial"/>
        <family val="2"/>
      </rPr>
      <t xml:space="preserve">My Sephora </t>
    </r>
    <r>
      <rPr>
        <sz val="10"/>
        <rFont val="Noto Sans CJK SC"/>
        <family val="2"/>
      </rPr>
      <t>회원 무료배송</t>
    </r>
  </si>
  <si>
    <r>
      <rPr>
        <sz val="10"/>
        <rFont val="Arial"/>
        <family val="2"/>
      </rPr>
      <t>In stock (</t>
    </r>
    <r>
      <rPr>
        <sz val="10"/>
        <rFont val="Noto Sans CJK SC"/>
        <family val="2"/>
      </rPr>
      <t>구매 가능</t>
    </r>
    <r>
      <rPr>
        <sz val="10"/>
        <rFont val="Arial"/>
        <family val="2"/>
      </rPr>
      <t>)</t>
    </r>
  </si>
  <si>
    <t>https://www.sephora.co.uk/p/beauty-of-joseon-relief-sun-rice-probiotics-spf50-soothing-sunscreen-with-rice-probiotics</t>
  </si>
  <si>
    <t>요약</t>
  </si>
  <si>
    <t>조사한 판매처 수</t>
  </si>
  <si>
    <r>
      <rPr>
        <b/>
        <sz val="10"/>
        <rFont val="Arial"/>
        <family val="2"/>
      </rPr>
      <t xml:space="preserve">£20 </t>
    </r>
    <r>
      <rPr>
        <b/>
        <sz val="10"/>
        <rFont val="Noto Sans CJK SC"/>
        <family val="2"/>
      </rPr>
      <t>이하 판매처 수</t>
    </r>
  </si>
  <si>
    <r>
      <rPr>
        <b/>
        <sz val="10"/>
        <rFont val="Noto Sans CJK SC"/>
        <family val="2"/>
      </rPr>
      <t xml:space="preserve">기준 금액 </t>
    </r>
    <r>
      <rPr>
        <b/>
        <sz val="10"/>
        <rFont val="Arial"/>
        <family val="2"/>
      </rPr>
      <t xml:space="preserve">(£, </t>
    </r>
    <r>
      <rPr>
        <b/>
        <sz val="10"/>
        <rFont val="Noto Sans CJK SC"/>
        <family val="2"/>
      </rPr>
      <t>수정 가능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</si>
  <si>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최저가 </t>
    </r>
    <r>
      <rPr>
        <b/>
        <sz val="10"/>
        <rFont val="Arial"/>
        <family val="2"/>
      </rPr>
      <t>(£)</t>
    </r>
  </si>
  <si>
    <t>최저가 판매처</t>
  </si>
  <si>
    <r>
      <rPr>
        <b/>
        <sz val="10"/>
        <rFont val="Noto Sans CJK SC"/>
        <family val="2"/>
      </rPr>
      <t xml:space="preserve">최고가와의 차액 </t>
    </r>
    <r>
      <rPr>
        <b/>
        <sz val="10"/>
        <rFont val="Arial"/>
        <family val="2"/>
      </rPr>
      <t>(£)</t>
    </r>
  </si>
  <si>
    <t>비고</t>
  </si>
  <si>
    <r>
      <rPr>
        <sz val="9"/>
        <rFont val="Arial"/>
        <family val="2"/>
      </rPr>
      <t xml:space="preserve">· </t>
    </r>
    <r>
      <rPr>
        <sz val="9"/>
        <rFont val="Noto Sans CJK SC"/>
        <family val="2"/>
      </rPr>
      <t xml:space="preserve">두 판매처 모두 </t>
    </r>
    <r>
      <rPr>
        <sz val="9"/>
        <rFont val="Arial"/>
        <family val="2"/>
      </rPr>
      <t xml:space="preserve">£20 </t>
    </r>
    <r>
      <rPr>
        <sz val="9"/>
        <rFont val="Noto Sans CJK SC"/>
        <family val="2"/>
      </rPr>
      <t>이하 조건을 충족합니다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가격만 보면 </t>
    </r>
    <r>
      <rPr>
        <sz val="9"/>
        <rFont val="Arial"/>
        <family val="2"/>
      </rPr>
      <t>Skinsider(£15.50)</t>
    </r>
    <r>
      <rPr>
        <sz val="9"/>
        <rFont val="Noto Sans CJK SC"/>
        <family val="2"/>
      </rPr>
      <t xml:space="preserve">가 </t>
    </r>
    <r>
      <rPr>
        <sz val="9"/>
        <rFont val="Arial"/>
        <family val="2"/>
      </rPr>
      <t xml:space="preserve">£0.50 </t>
    </r>
    <r>
      <rPr>
        <sz val="9"/>
        <rFont val="Noto Sans CJK SC"/>
        <family val="2"/>
      </rPr>
      <t>더 저렴합니다</t>
    </r>
    <r>
      <rPr>
        <sz val="9"/>
        <rFont val="Arial"/>
        <family val="2"/>
      </rPr>
      <t>.</t>
    </r>
  </si>
  <si>
    <r>
      <rPr>
        <sz val="9"/>
        <rFont val="Arial"/>
        <family val="2"/>
      </rPr>
      <t xml:space="preserve">· </t>
    </r>
    <r>
      <rPr>
        <sz val="9"/>
        <rFont val="Noto Sans CJK SC"/>
        <family val="2"/>
      </rPr>
      <t xml:space="preserve">다만 조사 시점 </t>
    </r>
    <r>
      <rPr>
        <sz val="9"/>
        <rFont val="Arial"/>
        <family val="2"/>
      </rPr>
      <t xml:space="preserve">Skinsider </t>
    </r>
    <r>
      <rPr>
        <sz val="9"/>
        <rFont val="Noto Sans CJK SC"/>
        <family val="2"/>
      </rPr>
      <t>페이지에는 장바구니 버튼 대신 재입고 알림 신청만 노출되어 품절로 보입니다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즉시 구매 가능한 곳은 </t>
    </r>
    <r>
      <rPr>
        <sz val="9"/>
        <rFont val="Arial"/>
        <family val="2"/>
      </rPr>
      <t>Sephora UK(£16.00)</t>
    </r>
    <r>
      <rPr>
        <sz val="9"/>
        <rFont val="Noto Sans CJK SC"/>
        <family val="2"/>
      </rPr>
      <t>입니다</t>
    </r>
    <r>
      <rPr>
        <sz val="9"/>
        <rFont val="Arial"/>
        <family val="2"/>
      </rPr>
      <t>.</t>
    </r>
  </si>
  <si>
    <r>
      <rPr>
        <sz val="9"/>
        <rFont val="Arial"/>
        <family val="2"/>
      </rPr>
      <t>· Skinsider</t>
    </r>
    <r>
      <rPr>
        <sz val="9"/>
        <rFont val="Noto Sans CJK SC"/>
        <family val="2"/>
      </rPr>
      <t xml:space="preserve">는 </t>
    </r>
    <r>
      <rPr>
        <sz val="9"/>
        <rFont val="Arial"/>
        <family val="2"/>
      </rPr>
      <t xml:space="preserve">£25 </t>
    </r>
    <r>
      <rPr>
        <sz val="9"/>
        <rFont val="Noto Sans CJK SC"/>
        <family val="2"/>
      </rPr>
      <t xml:space="preserve">미만 주문 시 배송비 </t>
    </r>
    <r>
      <rPr>
        <sz val="9"/>
        <rFont val="Arial"/>
        <family val="2"/>
      </rPr>
      <t>£3.50</t>
    </r>
    <r>
      <rPr>
        <sz val="9"/>
        <rFont val="Noto Sans CJK SC"/>
        <family val="2"/>
      </rPr>
      <t xml:space="preserve">이 붙어 </t>
    </r>
    <r>
      <rPr>
        <sz val="9"/>
        <rFont val="Arial"/>
        <family val="2"/>
      </rPr>
      <t>1</t>
    </r>
    <r>
      <rPr>
        <sz val="9"/>
        <rFont val="Noto Sans CJK SC"/>
        <family val="2"/>
      </rPr>
      <t xml:space="preserve">개만 구매하면 실결제액이 </t>
    </r>
    <r>
      <rPr>
        <sz val="9"/>
        <rFont val="Arial"/>
        <family val="2"/>
      </rPr>
      <t>£19.00</t>
    </r>
    <r>
      <rPr>
        <sz val="9"/>
        <rFont val="Noto Sans CJK SC"/>
        <family val="2"/>
      </rPr>
      <t xml:space="preserve">으로 </t>
    </r>
    <r>
      <rPr>
        <sz val="9"/>
        <rFont val="Arial"/>
        <family val="2"/>
      </rPr>
      <t>Sephora</t>
    </r>
    <r>
      <rPr>
        <sz val="9"/>
        <rFont val="Noto Sans CJK SC"/>
        <family val="2"/>
      </rPr>
      <t>보다 비쌀 수 있습니다</t>
    </r>
    <r>
      <rPr>
        <sz val="9"/>
        <rFont val="Arial"/>
        <family val="2"/>
      </rPr>
      <t>.</t>
    </r>
  </si>
  <si>
    <r>
      <rPr>
        <sz val="9"/>
        <rFont val="Arial"/>
        <family val="2"/>
      </rPr>
      <t>· Sephora UK</t>
    </r>
    <r>
      <rPr>
        <sz val="9"/>
        <rFont val="Noto Sans CJK SC"/>
        <family val="2"/>
      </rPr>
      <t xml:space="preserve">는 </t>
    </r>
    <r>
      <rPr>
        <sz val="9"/>
        <rFont val="Arial"/>
        <family val="2"/>
      </rPr>
      <t xml:space="preserve">My Sephora </t>
    </r>
    <r>
      <rPr>
        <sz val="9"/>
        <rFont val="Noto Sans CJK SC"/>
        <family val="2"/>
      </rPr>
      <t xml:space="preserve">회원 무료배송이므로 </t>
    </r>
    <r>
      <rPr>
        <sz val="9"/>
        <rFont val="Arial"/>
        <family val="2"/>
      </rPr>
      <t>1</t>
    </r>
    <r>
      <rPr>
        <sz val="9"/>
        <rFont val="Noto Sans CJK SC"/>
        <family val="2"/>
      </rPr>
      <t xml:space="preserve">개 구매 시 실결제액 </t>
    </r>
    <r>
      <rPr>
        <sz val="9"/>
        <rFont val="Arial"/>
        <family val="2"/>
      </rPr>
      <t>£16.00</t>
    </r>
    <r>
      <rPr>
        <sz val="9"/>
        <rFont val="Noto Sans CJK SC"/>
        <family val="2"/>
      </rPr>
      <t>입니다</t>
    </r>
    <r>
      <rPr>
        <sz val="9"/>
        <rFont val="Arial"/>
        <family val="2"/>
      </rPr>
      <t>.</t>
    </r>
  </si>
  <si>
    <r>
      <rPr>
        <sz val="9"/>
        <rFont val="Arial"/>
        <family val="2"/>
      </rPr>
      <t xml:space="preserve">· </t>
    </r>
    <r>
      <rPr>
        <sz val="9"/>
        <rFont val="Noto Sans CJK SC"/>
        <family val="2"/>
      </rPr>
      <t>표시 가격은 정가이며 프로모션</t>
    </r>
    <r>
      <rPr>
        <sz val="9"/>
        <rFont val="Arial"/>
        <family val="2"/>
      </rPr>
      <t xml:space="preserve">(Skinsider </t>
    </r>
    <r>
      <rPr>
        <sz val="9"/>
        <rFont val="Noto Sans CJK SC"/>
        <family val="2"/>
      </rPr>
      <t>생일 세일 등</t>
    </r>
    <r>
      <rPr>
        <sz val="9"/>
        <rFont val="Arial"/>
        <family val="2"/>
      </rPr>
      <t>)</t>
    </r>
    <r>
      <rPr>
        <sz val="9"/>
        <rFont val="Noto Sans CJK SC"/>
        <family val="2"/>
      </rPr>
      <t>에 따라 변동될 수 있습니다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구매 직전 재확인을 권합니다</t>
    </r>
    <r>
      <rPr>
        <sz val="9"/>
        <rFont val="Arial"/>
        <family val="2"/>
      </rPr>
      <t>.</t>
    </r>
  </si>
  <si>
    <r>
      <rPr>
        <sz val="9"/>
        <rFont val="Arial"/>
        <family val="2"/>
      </rPr>
      <t xml:space="preserve">· </t>
    </r>
    <r>
      <rPr>
        <sz val="9"/>
        <rFont val="Noto Sans CJK SC"/>
        <family val="2"/>
      </rPr>
      <t>출처</t>
    </r>
    <r>
      <rPr>
        <sz val="9"/>
        <rFont val="Arial"/>
        <family val="2"/>
      </rPr>
      <t xml:space="preserve">: </t>
    </r>
    <r>
      <rPr>
        <sz val="9"/>
        <rFont val="Noto Sans CJK SC"/>
        <family val="2"/>
      </rPr>
      <t xml:space="preserve">각 행의 제품 페이지 </t>
    </r>
    <r>
      <rPr>
        <sz val="9"/>
        <rFont val="Arial"/>
        <family val="2"/>
      </rPr>
      <t>URL (</t>
    </r>
    <r>
      <rPr>
        <sz val="9"/>
        <rFont val="Noto Sans CJK SC"/>
        <family val="2"/>
      </rPr>
      <t>직접 조회</t>
    </r>
    <r>
      <rPr>
        <sz val="9"/>
        <rFont val="Arial"/>
        <family val="2"/>
      </rPr>
      <t xml:space="preserve">, 2026-08-17). </t>
    </r>
    <r>
      <rPr>
        <sz val="9"/>
        <rFont val="Noto Sans CJK SC"/>
        <family val="2"/>
      </rPr>
      <t>노란색 셀은 직접 입력값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파란색 글씨는 하드코딩 수치입니다</t>
    </r>
    <r>
      <rPr>
        <sz val="9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</si>
</sst>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£#,##0.00"/>
    <numFmt numFmtId="177" formatCode="\£#,##0.000"/>
  </numFmts>
  <fonts count="18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4"/>
      <name val="Noto Sans CJK SC"/>
      <family val="2"/>
    </font>
    <font>
      <i/>
      <sz val="9"/>
      <color rgb="FF595959"/>
      <name val="Noto Sans CJK SC"/>
      <family val="2"/>
    </font>
    <font>
      <i/>
      <sz val="9"/>
      <color rgb="FF595959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name val="Noto Sans CJK SC"/>
      <family val="2"/>
    </font>
    <font>
      <u/>
      <sz val="9"/>
      <color rgb="FF0563C1"/>
      <name val="Arial"/>
      <family val="2"/>
    </font>
    <font>
      <b/>
      <sz val="11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Noto Sans CJK SC"/>
      <family val="2"/>
    </font>
    <font>
      <b/>
      <sz val="14"/>
      <name val="Arial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176" fontId="8" fillId="3" borderId="1" xfId="0" applyNumberFormat="1" applyFont="1" applyFill="1" applyBorder="1" applyAlignment="1">
      <alignment vertical="center"/>
    </xf>
    <xf numFmtId="177" fontId="7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76" fontId="8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0" xfId="0" applyFont="1"/>
    <xf numFmtId="0" fontId="12" fillId="0" borderId="1" xfId="0" applyFont="1" applyBorder="1"/>
    <xf numFmtId="0" fontId="7" fillId="0" borderId="1" xfId="0" applyFont="1" applyBorder="1"/>
    <xf numFmtId="0" fontId="13" fillId="0" borderId="1" xfId="0" applyFont="1" applyBorder="1"/>
    <xf numFmtId="176" fontId="8" fillId="4" borderId="1" xfId="0" applyNumberFormat="1" applyFont="1" applyFill="1" applyBorder="1"/>
    <xf numFmtId="176" fontId="7" fillId="0" borderId="1" xfId="0" applyNumberFormat="1" applyFont="1" applyBorder="1"/>
    <xf numFmtId="0" fontId="14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phora.co.uk/p/beauty-of-joseon-relief-sun-rice-probiotics-spf50-soothing-sunscreen-with-rice-probiotics" TargetMode="External"/><Relationship Id="rId1" Type="http://schemas.openxmlformats.org/officeDocument/2006/relationships/hyperlink" Target="https://skinsider.co.uk/beauty-of-joseon-relief-sun-rice-probiotics-spf50-pa-50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Normal="100" workbookViewId="0">
      <pane ySplit="4" topLeftCell="A5" activePane="bottomLeft" state="frozen"/>
      <selection pane="bottomLeft"/>
    </sheetView>
  </sheetViews>
  <sheetFormatPr defaultColWidth="8.6328125" defaultRowHeight="14.5"/>
  <cols>
    <col min="1" max="1" width="26.453125" customWidth="1"/>
    <col min="2" max="2" width="16" customWidth="1"/>
    <col min="3" max="3" width="46" customWidth="1"/>
    <col min="4" max="4" width="9" customWidth="1"/>
    <col min="5" max="5" width="12" customWidth="1"/>
    <col min="6" max="6" width="14" customWidth="1"/>
    <col min="7" max="7" width="13" customWidth="1"/>
    <col min="8" max="8" width="34" customWidth="1"/>
    <col min="9" max="9" width="22" customWidth="1"/>
    <col min="10" max="10" width="62" customWidth="1"/>
  </cols>
  <sheetData>
    <row r="1" spans="1:10" ht="18">
      <c r="A1" s="1" t="s">
        <v>0</v>
      </c>
    </row>
    <row r="2" spans="1:10">
      <c r="A2" s="2" t="s">
        <v>1</v>
      </c>
    </row>
    <row r="4" spans="1:10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3" t="s">
        <v>9</v>
      </c>
      <c r="I4" s="3" t="s">
        <v>10</v>
      </c>
      <c r="J4" s="3" t="s">
        <v>11</v>
      </c>
    </row>
    <row r="5" spans="1:10" ht="27.75" customHeight="1">
      <c r="A5" s="5">
        <v>1</v>
      </c>
      <c r="B5" s="5" t="s">
        <v>12</v>
      </c>
      <c r="C5" s="6" t="s">
        <v>13</v>
      </c>
      <c r="D5" s="5" t="s">
        <v>14</v>
      </c>
      <c r="E5" s="7">
        <v>15.5</v>
      </c>
      <c r="F5" s="5" t="str">
        <f>IF(E5&lt;=$B$12,"O (충족)","X (초과)")</f>
        <v>O (충족)</v>
      </c>
      <c r="G5" s="8">
        <f>E5/50</f>
        <v>0.31</v>
      </c>
      <c r="H5" s="6" t="s">
        <v>15</v>
      </c>
      <c r="I5" s="9" t="s">
        <v>16</v>
      </c>
      <c r="J5" s="10" t="s">
        <v>17</v>
      </c>
    </row>
    <row r="6" spans="1:10" ht="27.75" customHeight="1">
      <c r="A6" s="11">
        <v>2</v>
      </c>
      <c r="B6" s="11" t="s">
        <v>18</v>
      </c>
      <c r="C6" s="12" t="s">
        <v>19</v>
      </c>
      <c r="D6" s="11" t="s">
        <v>14</v>
      </c>
      <c r="E6" s="13">
        <v>16</v>
      </c>
      <c r="F6" s="11" t="str">
        <f>IF(E6&lt;=$B$12,"O (충족)","X (초과)")</f>
        <v>O (충족)</v>
      </c>
      <c r="G6" s="14">
        <f>E6/50</f>
        <v>0.32</v>
      </c>
      <c r="H6" s="12" t="s">
        <v>20</v>
      </c>
      <c r="I6" s="12" t="s">
        <v>21</v>
      </c>
      <c r="J6" s="15" t="s">
        <v>22</v>
      </c>
    </row>
    <row r="9" spans="1:10">
      <c r="A9" s="16" t="s">
        <v>23</v>
      </c>
    </row>
    <row r="10" spans="1:10">
      <c r="A10" s="17" t="s">
        <v>24</v>
      </c>
      <c r="B10" s="18">
        <f>COUNTA(B5:B6)</f>
        <v>2</v>
      </c>
    </row>
    <row r="11" spans="1:10">
      <c r="A11" s="19" t="s">
        <v>25</v>
      </c>
      <c r="B11" s="18">
        <f>COUNTIF(F5:F6,"O (충족)")</f>
        <v>2</v>
      </c>
    </row>
    <row r="12" spans="1:10">
      <c r="A12" s="17" t="s">
        <v>26</v>
      </c>
      <c r="B12" s="20">
        <v>20</v>
      </c>
    </row>
    <row r="13" spans="1:10">
      <c r="A13" s="17" t="s">
        <v>27</v>
      </c>
      <c r="B13" s="21">
        <f>MIN(E5:E6)</f>
        <v>15.5</v>
      </c>
    </row>
    <row r="14" spans="1:10">
      <c r="A14" s="17" t="s">
        <v>28</v>
      </c>
      <c r="B14" s="18" t="str">
        <f>INDEX(B5:B6,MATCH(MIN(E5:E6),E5:E6,0))</f>
        <v>Skinsider (skinsider.co.uk)</v>
      </c>
    </row>
    <row r="15" spans="1:10">
      <c r="A15" s="17" t="s">
        <v>29</v>
      </c>
      <c r="B15" s="21">
        <f>MAX(E5:E6)-MIN(E5:E6)</f>
        <v>0.5</v>
      </c>
    </row>
    <row r="17" spans="1:1">
      <c r="A17" s="16" t="s">
        <v>30</v>
      </c>
    </row>
    <row r="18" spans="1:1">
      <c r="A18" s="22" t="s">
        <v>31</v>
      </c>
    </row>
    <row r="19" spans="1:1">
      <c r="A19" s="22" t="s">
        <v>32</v>
      </c>
    </row>
    <row r="20" spans="1:1">
      <c r="A20" s="22" t="s">
        <v>33</v>
      </c>
    </row>
    <row r="21" spans="1:1">
      <c r="A21" s="22" t="s">
        <v>34</v>
      </c>
    </row>
    <row r="22" spans="1:1">
      <c r="A22" s="22" t="s">
        <v>35</v>
      </c>
    </row>
    <row r="23" spans="1:1">
      <c r="A23" s="22" t="s">
        <v>36</v>
      </c>
    </row>
  </sheetData>
  <phoneticPr fontId="17" type="noConversion"/>
  <hyperlinks>
    <hyperlink ref="J5" r:id="rId1" xr:uid="{00000000-0004-0000-0000-000000000000}"/>
    <hyperlink ref="J6" r:id="rId2" xr:uid="{00000000-0004-0000-0000-000001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 Jung Kwon</cp:lastModifiedBy>
  <cp:revision>0</cp:revision>
  <dcterms:created xsi:type="dcterms:W3CDTF">2026-08-17T04:32:15Z</dcterms:created>
  <dcterms:modified xsi:type="dcterms:W3CDTF">2026-08-17T04:36:19Z</dcterms:modified>
  <dc:language>en-US</dc:language>
</cp:coreProperties>
</file>